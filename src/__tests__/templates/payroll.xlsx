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17" i="1" l="1"/>
  <c r="K17" i="1"/>
  <c r="L8" i="1"/>
  <c r="L9" i="1"/>
  <c r="L10" i="1"/>
  <c r="L11" i="1"/>
  <c r="L12" i="1"/>
  <c r="L13" i="1"/>
  <c r="L14" i="1"/>
  <c r="L15" i="1"/>
  <c r="L16" i="1"/>
  <c r="K16" i="1"/>
  <c r="L7" i="1"/>
  <c r="K8" i="1"/>
  <c r="K9" i="1"/>
  <c r="K10" i="1"/>
  <c r="K11" i="1"/>
  <c r="K12" i="1"/>
  <c r="K13" i="1"/>
  <c r="K14" i="1"/>
  <c r="K15" i="1"/>
  <c r="K7" i="1"/>
  <c r="G10" i="1"/>
  <c r="G11" i="1"/>
  <c r="G12" i="1"/>
  <c r="G13" i="1"/>
  <c r="G14" i="1"/>
  <c r="G15" i="1"/>
  <c r="G16" i="1"/>
  <c r="G17" i="1"/>
  <c r="G9" i="1"/>
  <c r="G8" i="1"/>
  <c r="G7" i="1"/>
</calcChain>
</file>

<file path=xl/sharedStrings.xml><?xml version="1.0" encoding="utf-8"?>
<sst xmlns="http://schemas.openxmlformats.org/spreadsheetml/2006/main" count="28" uniqueCount="27">
  <si>
    <t>Payroll Sheet</t>
  </si>
  <si>
    <t>[Orlean Pvt Ltd.]</t>
  </si>
  <si>
    <t>[Address], [Zip Code]</t>
  </si>
  <si>
    <t>Employee  Name</t>
  </si>
  <si>
    <t>CTC</t>
  </si>
  <si>
    <t>TOTAL GROSS SALARY</t>
  </si>
  <si>
    <t>Basic Pay</t>
  </si>
  <si>
    <t>HRA</t>
  </si>
  <si>
    <t>Special</t>
  </si>
  <si>
    <t>Bonus</t>
  </si>
  <si>
    <t>TOTAL DEDUCTIONS</t>
  </si>
  <si>
    <t>TDS</t>
  </si>
  <si>
    <t>EPF</t>
  </si>
  <si>
    <t>Total</t>
  </si>
  <si>
    <t>Net Payable</t>
  </si>
  <si>
    <t>Jhon David</t>
  </si>
  <si>
    <t>Colema</t>
  </si>
  <si>
    <t>Cooper</t>
  </si>
  <si>
    <t>Earle Fynn</t>
  </si>
  <si>
    <t>Frank Gary</t>
  </si>
  <si>
    <t>Henry Holt</t>
  </si>
  <si>
    <t>Ike Lawrence</t>
  </si>
  <si>
    <t>James</t>
  </si>
  <si>
    <t>Jessie</t>
  </si>
  <si>
    <t>Reuben</t>
  </si>
  <si>
    <t>Virgil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</si>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</sst>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rgb="FF111111"/>
      <name val="Open Sans Semibold"/>
      <family val="2"/>
    </font>
    <font>
      <sz val="10"/>
      <color rgb="FF111111"/>
      <name val="Open Sans"/>
      <family val="2"/>
    </font>
    <font>
      <b/>
      <sz val="34"/>
      <color rgb="FF336699"/>
      <name val="Overlock"/>
    </font>
    <font>
      <sz val="11"/>
      <color theme="1"/>
      <name val="Open Sans"/>
      <family val="2"/>
    </font>
    <font>
      <sz val="11"/>
      <color theme="1"/>
      <name val="Open Sans Semibold"/>
      <family val="2"/>
    </font>
    <font>
      <sz val="10"/>
      <color theme="1"/>
      <name val="Open Sans"/>
      <family val="2"/>
    </font>
    <font>
      <sz val="11"/>
      <color rgb="FF336699"/>
      <name val="Open Sans Semibold"/>
      <family val="2"/>
    </font>
    <font>
      <sz val="11"/>
      <color theme="0"/>
      <name val="Open Sans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3"/>
    </xf>
    <xf numFmtId="0" fontId="2" fillId="0" borderId="1" xfId="0" applyFont="1" applyBorder="1" applyAlignment="1">
      <alignment horizontal="left" vertical="center" indent="3"/>
    </xf>
    <xf numFmtId="0" fontId="8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left" vertical="center"/>
    </xf>
    <xf numFmtId="166" fontId="6" fillId="3" borderId="2" xfId="0" applyNumberFormat="1" applyFont="1" applyFill="1" applyBorder="1" applyAlignment="1">
      <alignment horizontal="left" vertical="center"/>
    </xf>
    <xf numFmtId="166" fontId="6" fillId="0" borderId="2" xfId="0" applyNumberFormat="1" applyFont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6699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view="pageLayout" zoomScale="98" zoomScaleNormal="100" zoomScalePageLayoutView="98" workbookViewId="0">
      <selection sqref="A1:M18"/>
    </sheetView>
  </sheetViews>
  <sheetFormatPr defaultColWidth="9.140625" defaultRowHeight="15" x14ac:dyDescent="0.25"/>
  <cols>
    <col min="1" max="1" width="18" customWidth="1"/>
    <col min="2" max="6" width="9.7109375" customWidth="1"/>
    <col min="7" max="7" width="12.42578125" customWidth="1"/>
    <col min="8" max="10" width="9.7109375" customWidth="1"/>
    <col min="11" max="11" width="10.7109375" customWidth="1"/>
    <col min="12" max="12" width="3.42578125" customWidth="1"/>
    <col min="13" max="13" width="9.85546875" customWidth="1"/>
  </cols>
  <sheetData>
    <row r="1" spans="1:13" ht="21.6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5"/>
      <c r="K1" s="7" t="s">
        <v>1</v>
      </c>
      <c r="L1" s="7"/>
      <c r="M1" s="7"/>
    </row>
    <row r="2" spans="1:13" ht="21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6"/>
      <c r="K2" s="8" t="s">
        <v>2</v>
      </c>
      <c r="L2" s="8"/>
      <c r="M2" s="8"/>
    </row>
    <row r="4" spans="1:13" ht="18" customHeight="1" x14ac:dyDescent="0.25"/>
    <row r="5" spans="1:13" ht="25.5" customHeight="1" x14ac:dyDescent="0.3">
      <c r="B5" s="4"/>
      <c r="C5" s="9" t="s">
        <v>5</v>
      </c>
      <c r="D5" s="9"/>
      <c r="E5" s="9"/>
      <c r="F5" s="9"/>
      <c r="G5" s="4"/>
      <c r="H5" s="9" t="s">
        <v>10</v>
      </c>
      <c r="I5" s="9"/>
      <c r="J5" s="9"/>
      <c r="K5" s="9"/>
      <c r="L5" s="10"/>
      <c r="M5" s="10"/>
    </row>
    <row r="6" spans="1:13" ht="33" customHeight="1" x14ac:dyDescent="0.25">
      <c r="A6" s="11" t="s">
        <v>3</v>
      </c>
      <c r="B6" s="12" t="s">
        <v>4</v>
      </c>
      <c r="C6" s="13" t="s">
        <v>6</v>
      </c>
      <c r="D6" s="13" t="s">
        <v>7</v>
      </c>
      <c r="E6" s="13" t="s">
        <v>8</v>
      </c>
      <c r="F6" s="13" t="s">
        <v>9</v>
      </c>
      <c r="G6" s="12" t="s">
        <v>13</v>
      </c>
      <c r="H6" s="13" t="s">
        <v>11</v>
      </c>
      <c r="I6" s="13" t="s">
        <v>12</v>
      </c>
      <c r="J6" s="13" t="s">
        <v>26</v>
      </c>
      <c r="K6" s="13" t="s">
        <v>13</v>
      </c>
      <c r="L6" s="14" t="s">
        <v>14</v>
      </c>
      <c r="M6" s="14"/>
    </row>
    <row r="7" spans="1:13" ht="28.7" customHeight="1" x14ac:dyDescent="0.25">
      <c r="A7" s="15" t="s">
        <v>15</v>
      </c>
      <c r="B7" s="16">
        <v>60000</v>
      </c>
      <c r="C7" s="17">
        <v>35000</v>
      </c>
      <c r="D7" s="17">
        <v>15000</v>
      </c>
      <c r="E7" s="17">
        <v>5000</v>
      </c>
      <c r="F7" s="17">
        <v>10000</v>
      </c>
      <c r="G7" s="18">
        <f>SUM(B7:F7)</f>
        <v>125000</v>
      </c>
      <c r="H7" s="19">
        <v>7000</v>
      </c>
      <c r="I7" s="19">
        <v>0</v>
      </c>
      <c r="J7" s="17">
        <v>10000</v>
      </c>
      <c r="K7" s="19">
        <f>SUM(H7:J7)</f>
        <v>17000</v>
      </c>
      <c r="L7" s="20">
        <f>G7-K7</f>
        <v>108000</v>
      </c>
      <c r="M7" s="20"/>
    </row>
    <row r="8" spans="1:13" ht="28.7" customHeight="1" x14ac:dyDescent="0.25">
      <c r="A8" s="15" t="s">
        <v>16</v>
      </c>
      <c r="B8" s="16">
        <v>30000</v>
      </c>
      <c r="C8" s="17">
        <v>20000</v>
      </c>
      <c r="D8" s="17">
        <v>8500</v>
      </c>
      <c r="E8" s="17">
        <v>6000</v>
      </c>
      <c r="F8" s="17">
        <v>4000</v>
      </c>
      <c r="G8" s="18">
        <f>SUM(B8:F8)</f>
        <v>68500</v>
      </c>
      <c r="H8" s="19">
        <v>8000</v>
      </c>
      <c r="I8" s="19">
        <v>0</v>
      </c>
      <c r="J8" s="17">
        <v>4000</v>
      </c>
      <c r="K8" s="19">
        <f t="shared" ref="K8:K17" si="0">SUM(H8:J8)</f>
        <v>12000</v>
      </c>
      <c r="L8" s="20">
        <f t="shared" ref="L8:L16" si="1">G8-K8</f>
        <v>56500</v>
      </c>
      <c r="M8" s="20"/>
    </row>
    <row r="9" spans="1:13" ht="28.7" customHeight="1" x14ac:dyDescent="0.25">
      <c r="A9" s="15" t="s">
        <v>17</v>
      </c>
      <c r="B9" s="16">
        <v>20000</v>
      </c>
      <c r="C9" s="17">
        <v>15000</v>
      </c>
      <c r="D9" s="17">
        <v>1000</v>
      </c>
      <c r="E9" s="17">
        <v>8000</v>
      </c>
      <c r="F9" s="17">
        <v>2000</v>
      </c>
      <c r="G9" s="18">
        <f>SUM(B9:F9)</f>
        <v>46000</v>
      </c>
      <c r="H9" s="19">
        <v>3000</v>
      </c>
      <c r="I9" s="19">
        <v>0</v>
      </c>
      <c r="J9" s="17">
        <v>3000</v>
      </c>
      <c r="K9" s="19">
        <f t="shared" si="0"/>
        <v>6000</v>
      </c>
      <c r="L9" s="20">
        <f t="shared" si="1"/>
        <v>40000</v>
      </c>
      <c r="M9" s="20"/>
    </row>
    <row r="10" spans="1:13" ht="28.7" customHeight="1" x14ac:dyDescent="0.25">
      <c r="A10" s="15" t="s">
        <v>18</v>
      </c>
      <c r="B10" s="16">
        <v>25000</v>
      </c>
      <c r="C10" s="17">
        <v>20000</v>
      </c>
      <c r="D10" s="17">
        <v>1000</v>
      </c>
      <c r="E10" s="17">
        <v>6000</v>
      </c>
      <c r="F10" s="17">
        <v>40000</v>
      </c>
      <c r="G10" s="18">
        <f>SUM(B10:F10)</f>
        <v>92000</v>
      </c>
      <c r="H10" s="19">
        <v>1000</v>
      </c>
      <c r="I10" s="19">
        <v>0</v>
      </c>
      <c r="J10" s="17">
        <v>6000</v>
      </c>
      <c r="K10" s="19">
        <f t="shared" si="0"/>
        <v>7000</v>
      </c>
      <c r="L10" s="20">
        <f t="shared" si="1"/>
        <v>85000</v>
      </c>
      <c r="M10" s="20"/>
    </row>
    <row r="11" spans="1:13" ht="28.7" customHeight="1" x14ac:dyDescent="0.25">
      <c r="A11" s="15" t="s">
        <v>19</v>
      </c>
      <c r="B11" s="16">
        <v>14000</v>
      </c>
      <c r="C11" s="17">
        <v>8000</v>
      </c>
      <c r="D11" s="17">
        <v>1000</v>
      </c>
      <c r="E11" s="17">
        <v>10000</v>
      </c>
      <c r="F11" s="17">
        <v>35000</v>
      </c>
      <c r="G11" s="18">
        <f t="shared" ref="G10:G17" si="2">SUM(B11:F11)</f>
        <v>68000</v>
      </c>
      <c r="H11" s="19">
        <v>4000</v>
      </c>
      <c r="I11" s="19">
        <v>0</v>
      </c>
      <c r="J11" s="19">
        <v>0</v>
      </c>
      <c r="K11" s="19">
        <f t="shared" si="0"/>
        <v>4000</v>
      </c>
      <c r="L11" s="20">
        <f t="shared" si="1"/>
        <v>64000</v>
      </c>
      <c r="M11" s="20"/>
    </row>
    <row r="12" spans="1:13" ht="28.7" customHeight="1" x14ac:dyDescent="0.25">
      <c r="A12" s="15" t="s">
        <v>20</v>
      </c>
      <c r="B12" s="16">
        <v>15000</v>
      </c>
      <c r="C12" s="17">
        <v>12000</v>
      </c>
      <c r="D12" s="17">
        <v>500</v>
      </c>
      <c r="E12" s="17">
        <v>9000</v>
      </c>
      <c r="F12" s="17">
        <v>30000</v>
      </c>
      <c r="G12" s="18">
        <f t="shared" si="2"/>
        <v>66500</v>
      </c>
      <c r="H12" s="19">
        <v>0</v>
      </c>
      <c r="I12" s="19">
        <v>0</v>
      </c>
      <c r="J12" s="19">
        <v>0</v>
      </c>
      <c r="K12" s="19">
        <f t="shared" si="0"/>
        <v>0</v>
      </c>
      <c r="L12" s="20">
        <f t="shared" si="1"/>
        <v>66500</v>
      </c>
      <c r="M12" s="20"/>
    </row>
    <row r="13" spans="1:13" ht="28.7" customHeight="1" x14ac:dyDescent="0.25">
      <c r="A13" s="15" t="s">
        <v>21</v>
      </c>
      <c r="B13" s="16">
        <v>8000</v>
      </c>
      <c r="C13" s="17">
        <v>4000</v>
      </c>
      <c r="D13" s="17">
        <v>1000</v>
      </c>
      <c r="E13" s="17">
        <v>8000</v>
      </c>
      <c r="F13" s="17">
        <v>2000</v>
      </c>
      <c r="G13" s="18">
        <f t="shared" si="2"/>
        <v>23000</v>
      </c>
      <c r="H13" s="19">
        <v>0</v>
      </c>
      <c r="I13" s="19">
        <v>0</v>
      </c>
      <c r="J13" s="19">
        <v>0</v>
      </c>
      <c r="K13" s="19">
        <f t="shared" si="0"/>
        <v>0</v>
      </c>
      <c r="L13" s="20">
        <f t="shared" si="1"/>
        <v>23000</v>
      </c>
      <c r="M13" s="20"/>
    </row>
    <row r="14" spans="1:13" ht="28.7" customHeight="1" x14ac:dyDescent="0.25">
      <c r="A14" s="15" t="s">
        <v>22</v>
      </c>
      <c r="B14" s="16">
        <v>8000</v>
      </c>
      <c r="C14" s="17">
        <v>4000</v>
      </c>
      <c r="D14" s="17">
        <v>1000</v>
      </c>
      <c r="E14" s="17">
        <v>10000</v>
      </c>
      <c r="F14" s="17">
        <v>35000</v>
      </c>
      <c r="G14" s="18">
        <f t="shared" si="2"/>
        <v>58000</v>
      </c>
      <c r="H14" s="19">
        <v>0</v>
      </c>
      <c r="I14" s="19">
        <v>0</v>
      </c>
      <c r="J14" s="19">
        <v>0</v>
      </c>
      <c r="K14" s="19">
        <f t="shared" si="0"/>
        <v>0</v>
      </c>
      <c r="L14" s="20">
        <f t="shared" si="1"/>
        <v>58000</v>
      </c>
      <c r="M14" s="20"/>
    </row>
    <row r="15" spans="1:13" ht="28.7" customHeight="1" x14ac:dyDescent="0.25">
      <c r="A15" s="15" t="s">
        <v>23</v>
      </c>
      <c r="B15" s="16">
        <v>8000</v>
      </c>
      <c r="C15" s="17">
        <v>4000</v>
      </c>
      <c r="D15" s="17">
        <v>1000</v>
      </c>
      <c r="E15" s="17">
        <v>9000</v>
      </c>
      <c r="F15" s="17">
        <v>30000</v>
      </c>
      <c r="G15" s="18">
        <f t="shared" si="2"/>
        <v>52000</v>
      </c>
      <c r="H15" s="19">
        <v>0</v>
      </c>
      <c r="I15" s="19">
        <v>0</v>
      </c>
      <c r="J15" s="19">
        <v>0</v>
      </c>
      <c r="K15" s="19">
        <f t="shared" si="0"/>
        <v>0</v>
      </c>
      <c r="L15" s="20">
        <f t="shared" si="1"/>
        <v>52000</v>
      </c>
      <c r="M15" s="20"/>
    </row>
    <row r="16" spans="1:13" ht="28.7" customHeight="1" x14ac:dyDescent="0.25">
      <c r="A16" s="15" t="s">
        <v>24</v>
      </c>
      <c r="B16" s="16">
        <v>8000</v>
      </c>
      <c r="C16" s="17">
        <v>4000</v>
      </c>
      <c r="D16" s="17">
        <v>1000</v>
      </c>
      <c r="E16" s="17">
        <v>6000</v>
      </c>
      <c r="F16" s="17">
        <v>40000</v>
      </c>
      <c r="G16" s="18">
        <f t="shared" si="2"/>
        <v>59000</v>
      </c>
      <c r="H16" s="19">
        <v>0</v>
      </c>
      <c r="I16" s="19">
        <v>0</v>
      </c>
      <c r="J16" s="19">
        <v>0</v>
      </c>
      <c r="K16" s="19">
        <f t="shared" si="0"/>
        <v>0</v>
      </c>
      <c r="L16" s="20">
        <f t="shared" si="1"/>
        <v>59000</v>
      </c>
      <c r="M16" s="20"/>
    </row>
    <row r="17" spans="1:13" ht="28.7" customHeight="1" x14ac:dyDescent="0.25">
      <c r="A17" s="15" t="s">
        <v>25</v>
      </c>
      <c r="B17" s="16">
        <v>22000</v>
      </c>
      <c r="C17" s="17">
        <v>11000</v>
      </c>
      <c r="D17" s="17">
        <v>2000</v>
      </c>
      <c r="E17" s="17">
        <v>5000</v>
      </c>
      <c r="F17" s="17">
        <v>10000</v>
      </c>
      <c r="G17" s="18">
        <f t="shared" si="2"/>
        <v>50000</v>
      </c>
      <c r="H17" s="17">
        <v>1000</v>
      </c>
      <c r="I17" s="17">
        <v>5000</v>
      </c>
      <c r="J17" s="19">
        <v>0</v>
      </c>
      <c r="K17" s="19">
        <f t="shared" si="0"/>
        <v>6000</v>
      </c>
      <c r="L17" s="20">
        <f t="shared" ref="L17" si="3">G17-K17</f>
        <v>44000</v>
      </c>
      <c r="M17" s="20"/>
    </row>
    <row r="18" spans="1:13" ht="25.35" customHeight="1" x14ac:dyDescent="0.25">
      <c r="A18" s="15"/>
      <c r="B18" s="15"/>
      <c r="C18" s="21"/>
      <c r="D18" s="21"/>
      <c r="E18" s="21"/>
      <c r="F18" s="21"/>
      <c r="G18" s="15"/>
      <c r="H18" s="21"/>
      <c r="I18" s="21"/>
      <c r="J18" s="21"/>
      <c r="K18" s="21"/>
      <c r="L18" s="22"/>
      <c r="M18" s="23"/>
    </row>
    <row r="19" spans="1:13" ht="21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1.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1.6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1.6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1.6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1.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1.6" customHeight="1" x14ac:dyDescent="0.25"/>
    <row r="26" spans="1:13" ht="21.6" customHeight="1" x14ac:dyDescent="0.25"/>
    <row r="27" spans="1:13" ht="21.6" customHeight="1" x14ac:dyDescent="0.25"/>
    <row r="28" spans="1:13" ht="21.6" customHeight="1" x14ac:dyDescent="0.25"/>
    <row r="29" spans="1:13" ht="21.6" customHeight="1" x14ac:dyDescent="0.25"/>
    <row r="30" spans="1:13" ht="21.6" customHeight="1" x14ac:dyDescent="0.25"/>
    <row r="31" spans="1:13" ht="21.6" customHeight="1" x14ac:dyDescent="0.25"/>
    <row r="32" spans="1:13" ht="21.6" customHeight="1" x14ac:dyDescent="0.25"/>
    <row r="33" ht="21.6" customHeight="1" x14ac:dyDescent="0.25"/>
    <row r="34" ht="21.6" customHeight="1" x14ac:dyDescent="0.25"/>
  </sheetData>
  <mergeCells count="19">
    <mergeCell ref="L15:M15"/>
    <mergeCell ref="L16:M16"/>
    <mergeCell ref="L17:M17"/>
    <mergeCell ref="L5:M5"/>
    <mergeCell ref="L18:M18"/>
    <mergeCell ref="L9:M9"/>
    <mergeCell ref="L10:M10"/>
    <mergeCell ref="L11:M11"/>
    <mergeCell ref="L12:M12"/>
    <mergeCell ref="L13:M13"/>
    <mergeCell ref="L14:M14"/>
    <mergeCell ref="C5:F5"/>
    <mergeCell ref="H5:K5"/>
    <mergeCell ref="L6:M6"/>
    <mergeCell ref="L7:M7"/>
    <mergeCell ref="L8:M8"/>
    <mergeCell ref="A1:I2"/>
    <mergeCell ref="K1:M1"/>
    <mergeCell ref="K2:M2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2019-04-18T10:31:10Z</dcterms:modified>
</cp:coreProperties>
</file>